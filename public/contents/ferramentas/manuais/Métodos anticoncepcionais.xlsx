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5"/>
  </sheets>
  <definedNames>
    <definedName hidden="1" localSheetId="0" name="Z_C283446D_EBA0_47FA_A9F1_FEDD54C82601_.wvu.FilterData">Lista!$A$1:$Q$21</definedName>
  </definedNames>
  <calcPr/>
  <customWorkbookViews>
    <customWorkbookView activeSheetId="0" maximized="1" windowHeight="0" windowWidth="0" guid="{C283446D-EBA0-47FA-A9F1-FEDD54C82601}" name="Agrupar por Via"/>
  </customWorkbookViews>
</workbook>
</file>

<file path=xl/sharedStrings.xml><?xml version="1.0" encoding="utf-8"?>
<sst xmlns="http://schemas.openxmlformats.org/spreadsheetml/2006/main" count="157" uniqueCount="73">
  <si>
    <t>Nome</t>
  </si>
  <si>
    <t>Via</t>
  </si>
  <si>
    <t>Classe</t>
  </si>
  <si>
    <t>Progestagenio</t>
  </si>
  <si>
    <t>Dose P</t>
  </si>
  <si>
    <t>Estrogenio</t>
  </si>
  <si>
    <t>Dose E</t>
  </si>
  <si>
    <t>Hormônio</t>
  </si>
  <si>
    <t>Frequência</t>
  </si>
  <si>
    <t>Chances de uso típico</t>
  </si>
  <si>
    <t>Acne</t>
  </si>
  <si>
    <t>Dismenorreia</t>
  </si>
  <si>
    <t>SOP</t>
  </si>
  <si>
    <t>Endometriose</t>
  </si>
  <si>
    <t>TPM</t>
  </si>
  <si>
    <t>Irregularidade</t>
  </si>
  <si>
    <t>Fluxo</t>
  </si>
  <si>
    <t>Levonorgestrel + EE</t>
  </si>
  <si>
    <t>Oral</t>
  </si>
  <si>
    <t>Combinado</t>
  </si>
  <si>
    <t>Levonorgestrel</t>
  </si>
  <si>
    <t>Etinilestradiol</t>
  </si>
  <si>
    <t>20-30</t>
  </si>
  <si>
    <t>Diaria (21-24d)</t>
  </si>
  <si>
    <t>Gestodeno + EE</t>
  </si>
  <si>
    <t>Gestodeno</t>
  </si>
  <si>
    <t>Diaria</t>
  </si>
  <si>
    <t>Desogestrel + EE</t>
  </si>
  <si>
    <t>Desogestrel</t>
  </si>
  <si>
    <t>Drospirenona + EE</t>
  </si>
  <si>
    <t>Drospirenona</t>
  </si>
  <si>
    <t>Diaria (24/4)</t>
  </si>
  <si>
    <t>Ciproterona + EE</t>
  </si>
  <si>
    <t>Ciproterona</t>
  </si>
  <si>
    <t>Diaria (21d)</t>
  </si>
  <si>
    <t>Clormadinona + EE</t>
  </si>
  <si>
    <t>Clormadinona</t>
  </si>
  <si>
    <t>Dienogeste + EV</t>
  </si>
  <si>
    <t>Dienogeste</t>
  </si>
  <si>
    <t>Estradiol valerato</t>
  </si>
  <si>
    <t>0-3</t>
  </si>
  <si>
    <t>Nomegestrol + E</t>
  </si>
  <si>
    <t>Nomegestrol</t>
  </si>
  <si>
    <t>Estradiol</t>
  </si>
  <si>
    <t>Diaria (24+4)</t>
  </si>
  <si>
    <t>Isolado</t>
  </si>
  <si>
    <t>-</t>
  </si>
  <si>
    <t>Noretisterona</t>
  </si>
  <si>
    <t>Diaria (janela 3h)</t>
  </si>
  <si>
    <t>Diaria (janela 24h)</t>
  </si>
  <si>
    <t>Injetavel mensal</t>
  </si>
  <si>
    <t>Intramuscular</t>
  </si>
  <si>
    <t>Mensal</t>
  </si>
  <si>
    <t>Injetavel trimestral</t>
  </si>
  <si>
    <t>Medroxiprogesterona</t>
  </si>
  <si>
    <t>Trimestral</t>
  </si>
  <si>
    <t>Implante etonogestrel</t>
  </si>
  <si>
    <t>Subdermico</t>
  </si>
  <si>
    <t>Etonogestrel</t>
  </si>
  <si>
    <t>3 anos</t>
  </si>
  <si>
    <t>DIU levonorgestrel 52mg</t>
  </si>
  <si>
    <t>Intrauterino</t>
  </si>
  <si>
    <t>5-8 anos</t>
  </si>
  <si>
    <t>DIU levonorgestrel 19,5mg</t>
  </si>
  <si>
    <t>5 anos</t>
  </si>
  <si>
    <t>DIU de cobre</t>
  </si>
  <si>
    <t>Nao hormonal</t>
  </si>
  <si>
    <t>10 anos</t>
  </si>
  <si>
    <t>Laqueadura tubaria</t>
  </si>
  <si>
    <t>Cirúrgico</t>
  </si>
  <si>
    <t>Definitivo</t>
  </si>
  <si>
    <t>Unica</t>
  </si>
  <si>
    <t>Vasectomia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</si>
</sst>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is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1" displayName="Métodos" name="Métodos" id="1">
  <tableColumns count="17">
    <tableColumn name="Nome" id="1"/>
    <tableColumn name="Via" id="2"/>
    <tableColumn name="Classe" id="3"/>
    <tableColumn name="Progestagenio" id="4"/>
    <tableColumn name="Dose P" id="5"/>
    <tableColumn name="Estrogenio" id="6"/>
    <tableColumn name="Dose E" id="7"/>
    <tableColumn name="Hormônio" id="8"/>
    <tableColumn name="Frequência" id="9"/>
    <tableColumn name="Chances de uso típico" id="10"/>
    <tableColumn name="Acne" id="11"/>
    <tableColumn name="Dismenorreia" id="12"/>
    <tableColumn name="SOP" id="13"/>
    <tableColumn name="Endometriose" id="14"/>
    <tableColumn name="TPM" id="15"/>
    <tableColumn name="Irregularidade" id="16"/>
    <tableColumn name="Fluxo" id="17"/>
  </tableColumns>
  <tableStyleInfo name="Lis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75"/>
    <col hidden="1" min="2" max="2" width="12.63"/>
    <col customWidth="1" min="3" max="3" width="12.75"/>
    <col customWidth="1" hidden="1" min="4" max="4" width="18.13"/>
    <col hidden="1" min="5" max="5" width="12.63"/>
    <col customWidth="1" hidden="1" min="6" max="6" width="15.13"/>
    <col hidden="1" min="7" max="7" width="12.63"/>
    <col customWidth="1" min="8" max="8" width="33.5"/>
    <col customWidth="1" min="9" max="9" width="15.75"/>
    <col customWidth="1" min="10" max="10" width="21.88"/>
    <col customWidth="1" min="12" max="12" width="15.38"/>
    <col customWidth="1" min="14" max="14" width="15.88"/>
    <col customWidth="1" min="16" max="16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3" t="s">
        <v>17</v>
      </c>
      <c r="B2" s="3" t="s">
        <v>18</v>
      </c>
      <c r="C2" s="3" t="s">
        <v>19</v>
      </c>
      <c r="D2" s="3" t="s">
        <v>20</v>
      </c>
      <c r="E2" s="3">
        <v>0.15</v>
      </c>
      <c r="F2" s="3" t="s">
        <v>21</v>
      </c>
      <c r="G2" s="3" t="s">
        <v>22</v>
      </c>
      <c r="H2" s="3" t="str">
        <f t="shared" ref="H2:H21" si="1">TEXTJOIN(" ",TRUE,TEXTJOIN("+",TRUE,IF(D2="-","",D2),IF(F2="-","",F2)),TEXTJOIN("+",TRUE,IF(E2="-","",E2),IF(G2="-","",G2)))</f>
        <v>Levonorgestrel+Etinilestradiol 0,15+20-30</v>
      </c>
      <c r="I2" s="3" t="s">
        <v>23</v>
      </c>
      <c r="J2" s="3">
        <v>8.0</v>
      </c>
      <c r="K2" s="3">
        <v>-1.0</v>
      </c>
      <c r="L2" s="3">
        <v>1.0</v>
      </c>
      <c r="M2" s="3">
        <v>0.0</v>
      </c>
      <c r="N2" s="3">
        <v>1.0</v>
      </c>
      <c r="O2" s="3">
        <v>0.0</v>
      </c>
      <c r="P2" s="3">
        <v>1.0</v>
      </c>
      <c r="Q2" s="3">
        <v>1.0</v>
      </c>
    </row>
    <row r="3" ht="22.5" customHeight="1">
      <c r="A3" s="3" t="s">
        <v>24</v>
      </c>
      <c r="B3" s="3" t="s">
        <v>18</v>
      </c>
      <c r="C3" s="3" t="s">
        <v>19</v>
      </c>
      <c r="D3" s="3" t="s">
        <v>25</v>
      </c>
      <c r="E3" s="3">
        <v>75.0</v>
      </c>
      <c r="F3" s="3" t="s">
        <v>21</v>
      </c>
      <c r="G3" s="3" t="s">
        <v>22</v>
      </c>
      <c r="H3" s="3" t="str">
        <f t="shared" si="1"/>
        <v>Gestodeno+Etinilestradiol 75+20-30</v>
      </c>
      <c r="I3" s="3" t="s">
        <v>26</v>
      </c>
      <c r="J3" s="3">
        <v>8.0</v>
      </c>
      <c r="K3" s="3">
        <v>0.0</v>
      </c>
      <c r="L3" s="3">
        <v>1.0</v>
      </c>
      <c r="M3" s="3">
        <v>1.0</v>
      </c>
      <c r="N3" s="3">
        <v>1.0</v>
      </c>
      <c r="O3" s="3">
        <v>0.0</v>
      </c>
      <c r="P3" s="3">
        <v>1.0</v>
      </c>
      <c r="Q3" s="3">
        <v>1.0</v>
      </c>
    </row>
    <row r="4" ht="22.5" customHeight="1">
      <c r="A4" s="3" t="s">
        <v>27</v>
      </c>
      <c r="B4" s="3" t="s">
        <v>18</v>
      </c>
      <c r="C4" s="3" t="s">
        <v>19</v>
      </c>
      <c r="D4" s="3" t="s">
        <v>28</v>
      </c>
      <c r="E4" s="3">
        <v>0.15</v>
      </c>
      <c r="F4" s="3" t="s">
        <v>21</v>
      </c>
      <c r="G4" s="3" t="s">
        <v>22</v>
      </c>
      <c r="H4" s="3" t="str">
        <f t="shared" si="1"/>
        <v>Desogestrel+Etinilestradiol 0,15+20-30</v>
      </c>
      <c r="I4" s="3" t="s">
        <v>26</v>
      </c>
      <c r="J4" s="3">
        <v>8.0</v>
      </c>
      <c r="K4" s="3">
        <v>1.0</v>
      </c>
      <c r="L4" s="3">
        <v>1.0</v>
      </c>
      <c r="M4" s="3">
        <v>1.0</v>
      </c>
      <c r="N4" s="3">
        <v>1.0</v>
      </c>
      <c r="O4" s="3">
        <v>0.0</v>
      </c>
      <c r="P4" s="3">
        <v>1.0</v>
      </c>
      <c r="Q4" s="3">
        <v>1.0</v>
      </c>
    </row>
    <row r="5" ht="22.5" customHeight="1">
      <c r="A5" s="3" t="s">
        <v>29</v>
      </c>
      <c r="B5" s="3" t="s">
        <v>18</v>
      </c>
      <c r="C5" s="3" t="s">
        <v>19</v>
      </c>
      <c r="D5" s="3" t="s">
        <v>30</v>
      </c>
      <c r="E5" s="3">
        <v>3.0</v>
      </c>
      <c r="F5" s="3" t="s">
        <v>21</v>
      </c>
      <c r="G5" s="3" t="s">
        <v>22</v>
      </c>
      <c r="H5" s="3" t="str">
        <f t="shared" si="1"/>
        <v>Drospirenona+Etinilestradiol 3+20-30</v>
      </c>
      <c r="I5" s="3" t="s">
        <v>31</v>
      </c>
      <c r="J5" s="3">
        <v>8.0</v>
      </c>
      <c r="K5" s="3">
        <v>2.0</v>
      </c>
      <c r="L5" s="3">
        <v>1.0</v>
      </c>
      <c r="M5" s="3">
        <v>1.0</v>
      </c>
      <c r="N5" s="3">
        <v>1.0</v>
      </c>
      <c r="O5" s="3">
        <v>2.0</v>
      </c>
      <c r="P5" s="3">
        <v>1.0</v>
      </c>
      <c r="Q5" s="3">
        <v>1.0</v>
      </c>
    </row>
    <row r="6" ht="22.5" customHeight="1">
      <c r="A6" s="3" t="s">
        <v>32</v>
      </c>
      <c r="B6" s="3" t="s">
        <v>18</v>
      </c>
      <c r="C6" s="3" t="s">
        <v>19</v>
      </c>
      <c r="D6" s="3" t="s">
        <v>33</v>
      </c>
      <c r="E6" s="3">
        <v>2.0</v>
      </c>
      <c r="F6" s="3" t="s">
        <v>21</v>
      </c>
      <c r="G6" s="3">
        <v>35.0</v>
      </c>
      <c r="H6" s="3" t="str">
        <f t="shared" si="1"/>
        <v>Ciproterona+Etinilestradiol 2+35</v>
      </c>
      <c r="I6" s="3" t="s">
        <v>34</v>
      </c>
      <c r="J6" s="3">
        <v>8.0</v>
      </c>
      <c r="K6" s="3">
        <v>3.0</v>
      </c>
      <c r="L6" s="3">
        <v>1.0</v>
      </c>
      <c r="M6" s="3">
        <v>3.0</v>
      </c>
      <c r="N6" s="3">
        <v>1.0</v>
      </c>
      <c r="O6" s="3">
        <v>0.0</v>
      </c>
      <c r="P6" s="3">
        <v>1.0</v>
      </c>
      <c r="Q6" s="3">
        <v>1.0</v>
      </c>
    </row>
    <row r="7" ht="22.5" customHeight="1">
      <c r="A7" s="3" t="s">
        <v>35</v>
      </c>
      <c r="B7" s="3" t="s">
        <v>18</v>
      </c>
      <c r="C7" s="3" t="s">
        <v>19</v>
      </c>
      <c r="D7" s="3" t="s">
        <v>36</v>
      </c>
      <c r="E7" s="3">
        <v>2.0</v>
      </c>
      <c r="F7" s="3" t="s">
        <v>21</v>
      </c>
      <c r="G7" s="3">
        <v>30.0</v>
      </c>
      <c r="H7" s="3" t="str">
        <f t="shared" si="1"/>
        <v>Clormadinona+Etinilestradiol 2+30</v>
      </c>
      <c r="I7" s="3" t="s">
        <v>26</v>
      </c>
      <c r="J7" s="3">
        <v>8.0</v>
      </c>
      <c r="K7" s="3">
        <v>2.0</v>
      </c>
      <c r="L7" s="3">
        <v>1.0</v>
      </c>
      <c r="M7" s="3">
        <v>2.0</v>
      </c>
      <c r="N7" s="3">
        <v>1.0</v>
      </c>
      <c r="O7" s="3">
        <v>0.0</v>
      </c>
      <c r="P7" s="3">
        <v>1.0</v>
      </c>
      <c r="Q7" s="3">
        <v>1.0</v>
      </c>
    </row>
    <row r="8" ht="22.5" customHeight="1">
      <c r="A8" s="3" t="s">
        <v>37</v>
      </c>
      <c r="B8" s="3" t="s">
        <v>18</v>
      </c>
      <c r="C8" s="3" t="s">
        <v>19</v>
      </c>
      <c r="D8" s="3" t="s">
        <v>38</v>
      </c>
      <c r="E8" s="3">
        <v>2.0</v>
      </c>
      <c r="F8" s="3" t="s">
        <v>39</v>
      </c>
      <c r="G8" s="3" t="s">
        <v>40</v>
      </c>
      <c r="H8" s="3" t="str">
        <f t="shared" si="1"/>
        <v>Dienogeste+Estradiol valerato 2+0-3</v>
      </c>
      <c r="I8" s="3" t="s">
        <v>26</v>
      </c>
      <c r="J8" s="3">
        <v>8.0</v>
      </c>
      <c r="K8" s="3">
        <v>1.0</v>
      </c>
      <c r="L8" s="3">
        <v>1.0</v>
      </c>
      <c r="M8" s="3">
        <v>1.0</v>
      </c>
      <c r="N8" s="3">
        <v>3.0</v>
      </c>
      <c r="O8" s="3">
        <v>0.0</v>
      </c>
      <c r="P8" s="3">
        <v>0.0</v>
      </c>
      <c r="Q8" s="3">
        <v>1.0</v>
      </c>
    </row>
    <row r="9" ht="22.5" customHeight="1">
      <c r="A9" s="3" t="s">
        <v>41</v>
      </c>
      <c r="B9" s="3" t="s">
        <v>18</v>
      </c>
      <c r="C9" s="3" t="s">
        <v>19</v>
      </c>
      <c r="D9" s="3" t="s">
        <v>42</v>
      </c>
      <c r="E9" s="3">
        <v>2.5</v>
      </c>
      <c r="F9" s="3" t="s">
        <v>43</v>
      </c>
      <c r="G9" s="3">
        <v>1500.0</v>
      </c>
      <c r="H9" s="3" t="str">
        <f t="shared" si="1"/>
        <v>Nomegestrol+Estradiol 2,5+1500</v>
      </c>
      <c r="I9" s="3" t="s">
        <v>44</v>
      </c>
      <c r="J9" s="3">
        <v>8.0</v>
      </c>
      <c r="K9" s="3">
        <v>0.0</v>
      </c>
      <c r="L9" s="3">
        <v>1.0</v>
      </c>
      <c r="M9" s="3">
        <v>0.0</v>
      </c>
      <c r="N9" s="3">
        <v>1.0</v>
      </c>
      <c r="O9" s="3">
        <v>1.0</v>
      </c>
      <c r="P9" s="3">
        <v>1.0</v>
      </c>
      <c r="Q9" s="3">
        <v>1.0</v>
      </c>
    </row>
    <row r="10" ht="22.5" customHeight="1">
      <c r="A10" s="3" t="s">
        <v>28</v>
      </c>
      <c r="B10" s="3" t="s">
        <v>18</v>
      </c>
      <c r="C10" s="3" t="s">
        <v>45</v>
      </c>
      <c r="D10" s="3" t="s">
        <v>28</v>
      </c>
      <c r="E10" s="3">
        <v>75.0</v>
      </c>
      <c r="F10" s="3" t="s">
        <v>46</v>
      </c>
      <c r="G10" s="3" t="s">
        <v>46</v>
      </c>
      <c r="H10" s="3" t="str">
        <f t="shared" si="1"/>
        <v>Desogestrel 75</v>
      </c>
      <c r="I10" s="3" t="s">
        <v>26</v>
      </c>
      <c r="J10" s="3">
        <v>8.0</v>
      </c>
      <c r="K10" s="3">
        <v>-1.0</v>
      </c>
      <c r="L10" s="3">
        <v>0.0</v>
      </c>
      <c r="M10" s="3">
        <v>0.0</v>
      </c>
      <c r="N10" s="3">
        <v>1.0</v>
      </c>
      <c r="O10" s="3">
        <v>0.0</v>
      </c>
      <c r="P10" s="3">
        <v>-2.0</v>
      </c>
      <c r="Q10" s="3">
        <v>-1.0</v>
      </c>
    </row>
    <row r="11" ht="22.5" customHeight="1">
      <c r="A11" s="3" t="s">
        <v>47</v>
      </c>
      <c r="B11" s="3" t="s">
        <v>18</v>
      </c>
      <c r="C11" s="3" t="s">
        <v>45</v>
      </c>
      <c r="D11" s="3" t="s">
        <v>47</v>
      </c>
      <c r="E11" s="3">
        <v>0.35</v>
      </c>
      <c r="F11" s="3" t="s">
        <v>46</v>
      </c>
      <c r="G11" s="3" t="s">
        <v>46</v>
      </c>
      <c r="H11" s="3" t="str">
        <f t="shared" si="1"/>
        <v>Noretisterona 0,35</v>
      </c>
      <c r="I11" s="3" t="s">
        <v>48</v>
      </c>
      <c r="J11" s="3">
        <v>8.0</v>
      </c>
      <c r="K11" s="3">
        <v>-1.0</v>
      </c>
      <c r="L11" s="3">
        <v>0.0</v>
      </c>
      <c r="M11" s="3">
        <v>0.0</v>
      </c>
      <c r="N11" s="3">
        <v>1.0</v>
      </c>
      <c r="O11" s="3">
        <v>0.0</v>
      </c>
      <c r="P11" s="3">
        <v>-2.0</v>
      </c>
      <c r="Q11" s="3">
        <v>-1.0</v>
      </c>
    </row>
    <row r="12" ht="22.5" customHeight="1">
      <c r="A12" s="3" t="s">
        <v>30</v>
      </c>
      <c r="B12" s="3" t="s">
        <v>18</v>
      </c>
      <c r="C12" s="3" t="s">
        <v>45</v>
      </c>
      <c r="D12" s="3" t="s">
        <v>30</v>
      </c>
      <c r="E12" s="3">
        <v>4.0</v>
      </c>
      <c r="F12" s="3" t="s">
        <v>46</v>
      </c>
      <c r="G12" s="3" t="s">
        <v>46</v>
      </c>
      <c r="H12" s="3" t="str">
        <f t="shared" si="1"/>
        <v>Drospirenona 4</v>
      </c>
      <c r="I12" s="3" t="s">
        <v>49</v>
      </c>
      <c r="J12" s="3">
        <v>8.0</v>
      </c>
      <c r="K12" s="3">
        <v>1.0</v>
      </c>
      <c r="L12" s="3">
        <v>1.0</v>
      </c>
      <c r="M12" s="3">
        <v>1.0</v>
      </c>
      <c r="N12" s="3">
        <v>1.0</v>
      </c>
      <c r="O12" s="3">
        <v>1.0</v>
      </c>
      <c r="P12" s="3">
        <v>0.0</v>
      </c>
      <c r="Q12" s="3">
        <v>1.0</v>
      </c>
    </row>
    <row r="13" ht="22.5" customHeight="1">
      <c r="A13" s="3" t="s">
        <v>38</v>
      </c>
      <c r="B13" s="3" t="s">
        <v>18</v>
      </c>
      <c r="C13" s="3" t="s">
        <v>45</v>
      </c>
      <c r="D13" s="3" t="s">
        <v>38</v>
      </c>
      <c r="E13" s="3">
        <v>2.0</v>
      </c>
      <c r="F13" s="3" t="s">
        <v>46</v>
      </c>
      <c r="G13" s="3" t="s">
        <v>46</v>
      </c>
      <c r="H13" s="3" t="str">
        <f t="shared" si="1"/>
        <v>Dienogeste 2</v>
      </c>
      <c r="I13" s="3" t="s">
        <v>26</v>
      </c>
      <c r="J13" s="3" t="s">
        <v>46</v>
      </c>
      <c r="K13" s="3">
        <v>0.0</v>
      </c>
      <c r="L13" s="3">
        <v>3.0</v>
      </c>
      <c r="M13" s="3">
        <v>1.0</v>
      </c>
      <c r="N13" s="3">
        <v>4.0</v>
      </c>
      <c r="O13" s="3">
        <v>0.0</v>
      </c>
      <c r="P13" s="3">
        <v>-2.0</v>
      </c>
      <c r="Q13" s="3">
        <v>1.0</v>
      </c>
    </row>
    <row r="14" ht="22.5" customHeight="1">
      <c r="A14" s="3" t="s">
        <v>50</v>
      </c>
      <c r="B14" s="3" t="s">
        <v>51</v>
      </c>
      <c r="C14" s="3" t="s">
        <v>19</v>
      </c>
      <c r="D14" s="3" t="s">
        <v>47</v>
      </c>
      <c r="E14" s="3">
        <v>5.0</v>
      </c>
      <c r="F14" s="3" t="s">
        <v>39</v>
      </c>
      <c r="G14" s="3">
        <v>50.0</v>
      </c>
      <c r="H14" s="3" t="str">
        <f t="shared" si="1"/>
        <v>Noretisterona+Estradiol valerato 5+50</v>
      </c>
      <c r="I14" s="3" t="s">
        <v>52</v>
      </c>
      <c r="J14" s="3">
        <v>3.0</v>
      </c>
      <c r="K14" s="3">
        <v>0.0</v>
      </c>
      <c r="L14" s="3">
        <v>1.0</v>
      </c>
      <c r="M14" s="3">
        <v>0.0</v>
      </c>
      <c r="N14" s="3">
        <v>1.0</v>
      </c>
      <c r="O14" s="3">
        <v>0.0</v>
      </c>
      <c r="P14" s="3">
        <v>1.0</v>
      </c>
      <c r="Q14" s="3">
        <v>1.0</v>
      </c>
    </row>
    <row r="15" ht="22.5" customHeight="1">
      <c r="A15" s="3" t="s">
        <v>53</v>
      </c>
      <c r="B15" s="3" t="s">
        <v>51</v>
      </c>
      <c r="C15" s="3" t="s">
        <v>45</v>
      </c>
      <c r="D15" s="3" t="s">
        <v>54</v>
      </c>
      <c r="E15" s="3">
        <v>150.0</v>
      </c>
      <c r="F15" s="3" t="s">
        <v>46</v>
      </c>
      <c r="G15" s="3" t="s">
        <v>46</v>
      </c>
      <c r="H15" s="3" t="str">
        <f t="shared" si="1"/>
        <v>Medroxiprogesterona 150</v>
      </c>
      <c r="I15" s="3" t="s">
        <v>55</v>
      </c>
      <c r="J15" s="3">
        <v>4.0</v>
      </c>
      <c r="K15" s="3">
        <v>-1.0</v>
      </c>
      <c r="L15" s="3">
        <v>2.0</v>
      </c>
      <c r="M15" s="3">
        <v>0.0</v>
      </c>
      <c r="N15" s="3">
        <v>2.0</v>
      </c>
      <c r="O15" s="3">
        <v>1.0</v>
      </c>
      <c r="P15" s="3">
        <v>2.0</v>
      </c>
      <c r="Q15" s="3">
        <v>3.0</v>
      </c>
    </row>
    <row r="16" ht="22.5" customHeight="1">
      <c r="A16" s="3" t="s">
        <v>56</v>
      </c>
      <c r="B16" s="3" t="s">
        <v>57</v>
      </c>
      <c r="C16" s="3" t="s">
        <v>45</v>
      </c>
      <c r="D16" s="3" t="s">
        <v>58</v>
      </c>
      <c r="E16" s="3">
        <v>68.0</v>
      </c>
      <c r="F16" s="3" t="s">
        <v>46</v>
      </c>
      <c r="G16" s="3" t="s">
        <v>46</v>
      </c>
      <c r="H16" s="3" t="str">
        <f t="shared" si="1"/>
        <v>Etonogestrel 68</v>
      </c>
      <c r="I16" s="3" t="s">
        <v>59</v>
      </c>
      <c r="J16" s="3">
        <v>0.05</v>
      </c>
      <c r="K16" s="3">
        <v>-1.0</v>
      </c>
      <c r="L16" s="3">
        <v>1.0</v>
      </c>
      <c r="M16" s="3">
        <v>0.0</v>
      </c>
      <c r="N16" s="3">
        <v>1.0</v>
      </c>
      <c r="O16" s="3">
        <v>0.0</v>
      </c>
      <c r="P16" s="3">
        <v>-3.0</v>
      </c>
      <c r="Q16" s="3">
        <v>-1.0</v>
      </c>
    </row>
    <row r="17" ht="22.5" customHeight="1">
      <c r="A17" s="3" t="s">
        <v>60</v>
      </c>
      <c r="B17" s="3" t="s">
        <v>61</v>
      </c>
      <c r="C17" s="3" t="s">
        <v>45</v>
      </c>
      <c r="D17" s="3" t="s">
        <v>20</v>
      </c>
      <c r="E17" s="3">
        <v>52.0</v>
      </c>
      <c r="F17" s="3" t="s">
        <v>46</v>
      </c>
      <c r="G17" s="3" t="s">
        <v>46</v>
      </c>
      <c r="H17" s="3" t="str">
        <f t="shared" si="1"/>
        <v>Levonorgestrel 52</v>
      </c>
      <c r="I17" s="3" t="s">
        <v>62</v>
      </c>
      <c r="J17" s="3">
        <v>0.15</v>
      </c>
      <c r="K17" s="3">
        <v>0.0</v>
      </c>
      <c r="L17" s="3">
        <v>3.0</v>
      </c>
      <c r="M17" s="3">
        <v>0.0</v>
      </c>
      <c r="N17" s="3">
        <v>3.0</v>
      </c>
      <c r="O17" s="3">
        <v>1.0</v>
      </c>
      <c r="P17" s="3">
        <v>3.0</v>
      </c>
      <c r="Q17" s="3">
        <v>1.0</v>
      </c>
    </row>
    <row r="18" ht="22.5" customHeight="1">
      <c r="A18" s="3" t="s">
        <v>63</v>
      </c>
      <c r="B18" s="3" t="s">
        <v>61</v>
      </c>
      <c r="C18" s="3" t="s">
        <v>45</v>
      </c>
      <c r="D18" s="3" t="s">
        <v>20</v>
      </c>
      <c r="E18" s="3">
        <v>19.5</v>
      </c>
      <c r="F18" s="3" t="s">
        <v>46</v>
      </c>
      <c r="G18" s="3" t="s">
        <v>46</v>
      </c>
      <c r="H18" s="3" t="str">
        <f t="shared" si="1"/>
        <v>Levonorgestrel 19,5</v>
      </c>
      <c r="I18" s="3" t="s">
        <v>64</v>
      </c>
      <c r="J18" s="3">
        <v>0.3</v>
      </c>
      <c r="K18" s="3">
        <v>0.0</v>
      </c>
      <c r="L18" s="3">
        <v>2.0</v>
      </c>
      <c r="M18" s="3">
        <v>0.0</v>
      </c>
      <c r="N18" s="3">
        <v>2.0</v>
      </c>
      <c r="O18" s="3">
        <v>0.0</v>
      </c>
      <c r="P18" s="3">
        <v>2.0</v>
      </c>
      <c r="Q18" s="3">
        <v>1.0</v>
      </c>
    </row>
    <row r="19" ht="22.5" customHeight="1">
      <c r="A19" s="3" t="s">
        <v>65</v>
      </c>
      <c r="B19" s="3" t="s">
        <v>61</v>
      </c>
      <c r="C19" s="3" t="s">
        <v>66</v>
      </c>
      <c r="D19" s="3" t="s">
        <v>46</v>
      </c>
      <c r="E19" s="3" t="s">
        <v>46</v>
      </c>
      <c r="F19" s="3" t="s">
        <v>46</v>
      </c>
      <c r="G19" s="3" t="s">
        <v>46</v>
      </c>
      <c r="H19" s="3" t="str">
        <f t="shared" si="1"/>
        <v/>
      </c>
      <c r="I19" s="3" t="s">
        <v>67</v>
      </c>
      <c r="J19" s="3">
        <v>0.8</v>
      </c>
      <c r="K19" s="3">
        <v>0.0</v>
      </c>
      <c r="L19" s="3">
        <v>-2.0</v>
      </c>
      <c r="M19" s="3">
        <v>0.0</v>
      </c>
      <c r="N19" s="3">
        <v>-1.0</v>
      </c>
      <c r="O19" s="3">
        <v>0.0</v>
      </c>
      <c r="P19" s="3">
        <v>1.0</v>
      </c>
      <c r="Q19" s="3">
        <v>-3.0</v>
      </c>
    </row>
    <row r="20" ht="22.5" customHeight="1">
      <c r="A20" s="3" t="s">
        <v>68</v>
      </c>
      <c r="B20" s="3" t="s">
        <v>69</v>
      </c>
      <c r="C20" s="3" t="s">
        <v>70</v>
      </c>
      <c r="D20" s="3" t="s">
        <v>46</v>
      </c>
      <c r="E20" s="3" t="s">
        <v>46</v>
      </c>
      <c r="F20" s="3" t="s">
        <v>46</v>
      </c>
      <c r="G20" s="3" t="s">
        <v>46</v>
      </c>
      <c r="H20" s="3" t="str">
        <f t="shared" si="1"/>
        <v/>
      </c>
      <c r="I20" s="3" t="s">
        <v>71</v>
      </c>
      <c r="J20" s="3">
        <v>0.5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1.0</v>
      </c>
      <c r="Q20" s="3">
        <v>0.0</v>
      </c>
    </row>
    <row r="21" ht="22.5" customHeight="1">
      <c r="A21" s="3" t="s">
        <v>72</v>
      </c>
      <c r="B21" s="3" t="s">
        <v>69</v>
      </c>
      <c r="C21" s="3" t="s">
        <v>70</v>
      </c>
      <c r="D21" s="3" t="s">
        <v>46</v>
      </c>
      <c r="E21" s="3" t="s">
        <v>46</v>
      </c>
      <c r="F21" s="3" t="s">
        <v>46</v>
      </c>
      <c r="G21" s="3" t="s">
        <v>46</v>
      </c>
      <c r="H21" s="3" t="str">
        <f t="shared" si="1"/>
        <v/>
      </c>
      <c r="I21" s="3" t="s">
        <v>71</v>
      </c>
      <c r="J21" s="3">
        <v>0.15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0.0</v>
      </c>
    </row>
  </sheetData>
  <customSheetViews>
    <customSheetView guid="{C283446D-EBA0-47FA-A9F1-FEDD54C82601}" filter="1" showAutoFilter="1">
      <autoFilter ref="$A$1:$Q$21"/>
    </customSheetView>
  </customSheetViews>
  <conditionalFormatting sqref="K1:Q21">
    <cfRule type="colorScale" priority="1">
      <colorScale>
        <cfvo type="formula" val="-3"/>
        <cfvo type="formula" val="0"/>
        <cfvo type="formula" val="3"/>
        <color rgb="FFEA9999"/>
        <color rgb="FFFFE599"/>
        <color rgb="FFB6D7A8"/>
      </colorScale>
    </cfRule>
  </conditionalFormatting>
  <conditionalFormatting sqref="J1:J21">
    <cfRule type="colorScale" priority="2">
      <colorScale>
        <cfvo type="min"/>
        <cfvo type="percentile" val="50"/>
        <cfvo type="max"/>
        <color rgb="FFB6D7A8"/>
        <color rgb="FFFFE599"/>
        <color rgb="FFEA9999"/>
      </colorScale>
    </cfRule>
  </conditionalFormatting>
  <drawing r:id="rId1"/>
  <tableParts count="1">
    <tablePart r:id="rId3"/>
  </tableParts>
</worksheet>
</file>